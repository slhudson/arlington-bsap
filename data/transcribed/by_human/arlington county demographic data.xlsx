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enaja/Library/CloudStorage/GoogleDrive-keenaja@vcu.edu/My Drive/documents backup/arlington_county_project/"/>
    </mc:Choice>
  </mc:AlternateContent>
  <xr:revisionPtr revIDLastSave="0" documentId="13_ncr:1_{F21801F2-0F73-4144-BF09-A67CD0D7E75E}" xr6:coauthVersionLast="47" xr6:coauthVersionMax="47" xr10:uidLastSave="{00000000-0000-0000-0000-000000000000}"/>
  <bookViews>
    <workbookView xWindow="780" yWindow="1000" windowWidth="27640" windowHeight="16440" xr2:uid="{5E9AF20D-CD63-5344-8D60-91C97918C1C8}"/>
  </bookViews>
  <sheets>
    <sheet name="demographic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" i="1" l="1"/>
  <c r="C4" i="1"/>
  <c r="B4" i="1"/>
  <c r="I4" i="1" s="1"/>
  <c r="D3" i="1"/>
  <c r="C3" i="1"/>
  <c r="B3" i="1"/>
  <c r="J3" i="1" s="1"/>
  <c r="K3" i="1" s="1"/>
  <c r="D2" i="1"/>
  <c r="C2" i="1"/>
  <c r="B2" i="1"/>
  <c r="I2" i="1" s="1"/>
  <c r="I3" i="1"/>
  <c r="I5" i="1"/>
  <c r="I6" i="1"/>
  <c r="I7" i="1"/>
  <c r="I8" i="1"/>
  <c r="J2" i="1"/>
  <c r="K2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I9" i="1"/>
  <c r="I10" i="1"/>
  <c r="I11" i="1"/>
  <c r="I12" i="1"/>
  <c r="I13" i="1"/>
  <c r="I14" i="1"/>
  <c r="I15" i="1"/>
  <c r="I16" i="1"/>
  <c r="I17" i="1"/>
</calcChain>
</file>

<file path=xl/sharedStrings.xml><?xml version="1.0" encoding="utf-8"?>
<sst xmlns="http://schemas.openxmlformats.org/spreadsheetml/2006/main" count="31" uniqueCount="14">
  <si>
    <t>population_total</t>
  </si>
  <si>
    <t>census</t>
  </si>
  <si>
    <t>white_population</t>
  </si>
  <si>
    <t>.</t>
  </si>
  <si>
    <t>black_population</t>
  </si>
  <si>
    <t>hisp-latino_population</t>
  </si>
  <si>
    <t>aapi_population</t>
  </si>
  <si>
    <t>https://www2.census.gov/library/working-papers/2005/demo/pop-twps0076/vatab.pdf</t>
  </si>
  <si>
    <t>https://www.arlingtonva.us/files/sharedassets/public/v/1/projects/documents/2000-general-demographics.pdf</t>
  </si>
  <si>
    <t>board_seats</t>
  </si>
  <si>
    <t>at_large</t>
  </si>
  <si>
    <t>residents_per_seat</t>
  </si>
  <si>
    <t>cube_root_p</t>
  </si>
  <si>
    <t>cube_root_resident_ratio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</si>
</sst>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" fontId="0" fillId="0" borderId="0" xfId="0" applyNumberFormat="1"/>
    <xf numFmtId="1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9199A-CA4D-FE47-836D-8472C36D0D07}">
  <dimension ref="A1:K19"/>
  <sheetViews>
    <sheetView tabSelected="1" workbookViewId="0">
      <selection activeCell="E5" sqref="E5"/>
    </sheetView>
  </sheetViews>
  <sheetFormatPr baseColWidth="10" defaultRowHeight="16" x14ac:dyDescent="0.2"/>
  <sheetData>
    <row r="1" spans="1:11" x14ac:dyDescent="0.2">
      <c r="A1" t="s">
        <v>1</v>
      </c>
      <c r="B1" t="s">
        <v>0</v>
      </c>
      <c r="C1" t="s">
        <v>2</v>
      </c>
      <c r="D1" t="s">
        <v>4</v>
      </c>
      <c r="E1" t="s">
        <v>5</v>
      </c>
      <c r="F1" t="s">
        <v>6</v>
      </c>
      <c r="G1" t="s">
        <v>9</v>
      </c>
      <c r="H1" t="s">
        <v>10</v>
      </c>
      <c r="I1" t="s">
        <v>11</v>
      </c>
      <c r="J1" t="s">
        <v>12</v>
      </c>
      <c r="K1" t="s">
        <v>13</v>
      </c>
    </row>
    <row r="2" spans="1:11" x14ac:dyDescent="0.2">
      <c r="A2">
        <v>1870</v>
      </c>
      <c r="B2" s="2">
        <f>1374+1256+555</f>
        <v>3185</v>
      </c>
      <c r="C2" s="2">
        <f>517+283+275</f>
        <v>1075</v>
      </c>
      <c r="D2" s="2">
        <f>857+873+280</f>
        <v>2010</v>
      </c>
      <c r="E2" s="2" t="s">
        <v>3</v>
      </c>
      <c r="F2" s="2" t="s">
        <v>3</v>
      </c>
      <c r="G2">
        <v>3</v>
      </c>
      <c r="H2">
        <v>0</v>
      </c>
      <c r="I2" s="2">
        <f t="shared" ref="I2:I17" si="0">B2/G2</f>
        <v>1061.6666666666667</v>
      </c>
      <c r="J2" s="2">
        <f t="shared" ref="J2:J17" si="1">POWER(B2,(1/3))</f>
        <v>14.713064726841388</v>
      </c>
      <c r="K2" s="2">
        <f t="shared" ref="K2:K17" si="2">B2/J2</f>
        <v>216.47427365622406</v>
      </c>
    </row>
    <row r="3" spans="1:11" x14ac:dyDescent="0.2">
      <c r="A3">
        <v>1880</v>
      </c>
      <c r="B3" s="2">
        <f>1754+1319+814</f>
        <v>3887</v>
      </c>
      <c r="C3" s="2">
        <f>9972-8279</f>
        <v>1693</v>
      </c>
      <c r="D3" s="2">
        <f>7574-5380</f>
        <v>2194</v>
      </c>
      <c r="E3" s="2" t="s">
        <v>3</v>
      </c>
      <c r="F3" s="2" t="s">
        <v>3</v>
      </c>
      <c r="G3">
        <v>3</v>
      </c>
      <c r="H3">
        <v>0</v>
      </c>
      <c r="I3" s="2">
        <f t="shared" si="0"/>
        <v>1295.6666666666667</v>
      </c>
      <c r="J3" s="2">
        <f t="shared" si="1"/>
        <v>15.723100131656336</v>
      </c>
      <c r="K3" s="2">
        <f t="shared" si="2"/>
        <v>247.21587775009147</v>
      </c>
    </row>
    <row r="4" spans="1:11" x14ac:dyDescent="0.2">
      <c r="A4">
        <v>1890</v>
      </c>
      <c r="B4" s="2">
        <f>2013+338+1303+942</f>
        <v>4596</v>
      </c>
      <c r="C4">
        <f>(5262+5415+379+365)-9226</f>
        <v>2195</v>
      </c>
      <c r="D4">
        <f>(3475+3761)-5113</f>
        <v>2123</v>
      </c>
      <c r="E4" s="2" t="s">
        <v>3</v>
      </c>
      <c r="F4" s="2" t="s">
        <v>3</v>
      </c>
      <c r="G4">
        <v>3</v>
      </c>
      <c r="H4">
        <v>0</v>
      </c>
      <c r="I4" s="2">
        <f t="shared" si="0"/>
        <v>1532</v>
      </c>
      <c r="J4" s="2">
        <f t="shared" si="1"/>
        <v>16.626213000608118</v>
      </c>
      <c r="K4" s="2">
        <f t="shared" si="2"/>
        <v>276.43095874159059</v>
      </c>
    </row>
    <row r="5" spans="1:11" x14ac:dyDescent="0.2">
      <c r="A5">
        <v>1900</v>
      </c>
      <c r="B5" s="2">
        <v>6430</v>
      </c>
      <c r="C5" s="2">
        <v>3963</v>
      </c>
      <c r="D5" s="2">
        <v>2437</v>
      </c>
      <c r="E5" s="2" t="s">
        <v>3</v>
      </c>
      <c r="F5" s="2" t="s">
        <v>3</v>
      </c>
      <c r="G5" s="2">
        <v>3</v>
      </c>
      <c r="H5">
        <v>0</v>
      </c>
      <c r="I5" s="2">
        <f t="shared" si="0"/>
        <v>2143.3333333333335</v>
      </c>
      <c r="J5" s="2">
        <f t="shared" si="1"/>
        <v>18.595320054319338</v>
      </c>
      <c r="K5" s="2">
        <f t="shared" si="2"/>
        <v>345.78592792257069</v>
      </c>
    </row>
    <row r="6" spans="1:11" x14ac:dyDescent="0.2">
      <c r="A6">
        <v>1910</v>
      </c>
      <c r="B6" s="2">
        <v>10231</v>
      </c>
      <c r="C6" s="2">
        <v>7586</v>
      </c>
      <c r="D6" s="2">
        <v>2645</v>
      </c>
      <c r="E6" s="2" t="s">
        <v>3</v>
      </c>
      <c r="F6" s="2" t="s">
        <v>3</v>
      </c>
      <c r="G6" s="2">
        <v>3</v>
      </c>
      <c r="H6">
        <v>0</v>
      </c>
      <c r="I6" s="2">
        <f t="shared" si="0"/>
        <v>3410.3333333333335</v>
      </c>
      <c r="J6" s="2">
        <f t="shared" si="1"/>
        <v>21.708977151717079</v>
      </c>
      <c r="K6" s="2">
        <f t="shared" si="2"/>
        <v>471.2796889737744</v>
      </c>
    </row>
    <row r="7" spans="1:11" x14ac:dyDescent="0.2">
      <c r="A7">
        <v>1920</v>
      </c>
      <c r="B7" s="2">
        <v>16040</v>
      </c>
      <c r="C7" s="2">
        <v>13530</v>
      </c>
      <c r="D7" s="2">
        <v>2507</v>
      </c>
      <c r="E7" s="2" t="s">
        <v>3</v>
      </c>
      <c r="F7" s="2" t="s">
        <v>3</v>
      </c>
      <c r="G7" s="2">
        <v>3</v>
      </c>
      <c r="H7">
        <v>0</v>
      </c>
      <c r="I7" s="2">
        <f t="shared" si="0"/>
        <v>5346.666666666667</v>
      </c>
      <c r="J7" s="2">
        <f t="shared" si="1"/>
        <v>25.219402207422497</v>
      </c>
      <c r="K7" s="2">
        <f t="shared" si="2"/>
        <v>636.01824769974746</v>
      </c>
    </row>
    <row r="8" spans="1:11" x14ac:dyDescent="0.2">
      <c r="A8">
        <v>1930</v>
      </c>
      <c r="B8" s="2">
        <v>26615</v>
      </c>
      <c r="C8">
        <v>23269</v>
      </c>
      <c r="D8" s="2">
        <v>3337</v>
      </c>
      <c r="E8" s="2" t="s">
        <v>3</v>
      </c>
      <c r="F8" s="2" t="s">
        <v>3</v>
      </c>
      <c r="G8" s="2">
        <v>3</v>
      </c>
      <c r="H8">
        <v>0</v>
      </c>
      <c r="I8" s="2">
        <f t="shared" si="0"/>
        <v>8871.6666666666661</v>
      </c>
      <c r="J8" s="2">
        <f t="shared" si="1"/>
        <v>29.85672423186708</v>
      </c>
      <c r="K8" s="2">
        <f t="shared" si="2"/>
        <v>891.42398185775926</v>
      </c>
    </row>
    <row r="9" spans="1:11" x14ac:dyDescent="0.2">
      <c r="A9">
        <v>1940</v>
      </c>
      <c r="B9" s="2">
        <v>57040</v>
      </c>
      <c r="C9" s="2">
        <v>51998</v>
      </c>
      <c r="D9" s="2">
        <v>5032</v>
      </c>
      <c r="E9" s="2" t="s">
        <v>3</v>
      </c>
      <c r="F9" s="2" t="s">
        <v>3</v>
      </c>
      <c r="G9" s="2">
        <v>5</v>
      </c>
      <c r="H9" s="1">
        <v>1</v>
      </c>
      <c r="I9" s="2">
        <f t="shared" si="0"/>
        <v>11408</v>
      </c>
      <c r="J9" s="2">
        <f t="shared" si="1"/>
        <v>38.494011549605247</v>
      </c>
      <c r="K9" s="2">
        <f t="shared" si="2"/>
        <v>1481.7889251811414</v>
      </c>
    </row>
    <row r="10" spans="1:11" x14ac:dyDescent="0.2">
      <c r="A10">
        <v>1950</v>
      </c>
      <c r="B10" s="2">
        <v>135449</v>
      </c>
      <c r="C10" s="2">
        <v>128780</v>
      </c>
      <c r="D10">
        <v>6517</v>
      </c>
      <c r="E10" s="2" t="s">
        <v>3</v>
      </c>
      <c r="F10" s="3">
        <v>57</v>
      </c>
      <c r="G10" s="2">
        <v>5</v>
      </c>
      <c r="H10" s="2">
        <v>1</v>
      </c>
      <c r="I10" s="2">
        <f t="shared" si="0"/>
        <v>27089.8</v>
      </c>
      <c r="J10" s="2">
        <f t="shared" si="1"/>
        <v>51.356087998605275</v>
      </c>
      <c r="K10" s="2">
        <f t="shared" si="2"/>
        <v>2637.4477745204913</v>
      </c>
    </row>
    <row r="11" spans="1:11" x14ac:dyDescent="0.2">
      <c r="A11">
        <v>1960</v>
      </c>
      <c r="B11" s="2">
        <v>163401</v>
      </c>
      <c r="C11" s="2">
        <v>154172</v>
      </c>
      <c r="D11" s="2">
        <v>8590</v>
      </c>
      <c r="E11" s="2" t="s">
        <v>3</v>
      </c>
      <c r="F11" s="2">
        <v>437</v>
      </c>
      <c r="G11" s="1">
        <v>5</v>
      </c>
      <c r="H11" s="1">
        <v>1</v>
      </c>
      <c r="I11" s="2">
        <f t="shared" si="0"/>
        <v>32680.2</v>
      </c>
      <c r="J11" s="2">
        <f t="shared" si="1"/>
        <v>54.670314218908011</v>
      </c>
      <c r="K11" s="2">
        <f t="shared" si="2"/>
        <v>2988.84325679414</v>
      </c>
    </row>
    <row r="12" spans="1:11" x14ac:dyDescent="0.2">
      <c r="A12">
        <v>1970</v>
      </c>
      <c r="B12" s="2">
        <v>174284</v>
      </c>
      <c r="C12" s="2">
        <v>161329</v>
      </c>
      <c r="D12" s="2">
        <v>10076</v>
      </c>
      <c r="E12" s="2">
        <v>1387</v>
      </c>
      <c r="F12" s="3">
        <v>6315</v>
      </c>
      <c r="G12" s="2">
        <v>5</v>
      </c>
      <c r="H12" s="2">
        <v>1</v>
      </c>
      <c r="I12" s="2">
        <f t="shared" si="0"/>
        <v>34856.800000000003</v>
      </c>
      <c r="J12" s="2">
        <f t="shared" si="1"/>
        <v>55.858058898523609</v>
      </c>
      <c r="K12" s="2">
        <f t="shared" si="2"/>
        <v>3120.122743910933</v>
      </c>
    </row>
    <row r="13" spans="1:11" x14ac:dyDescent="0.2">
      <c r="A13">
        <v>1980</v>
      </c>
      <c r="B13" s="2">
        <v>152599</v>
      </c>
      <c r="C13" s="2">
        <v>120250</v>
      </c>
      <c r="D13" s="2">
        <v>14028</v>
      </c>
      <c r="E13" s="2">
        <v>8863</v>
      </c>
      <c r="F13" s="2">
        <v>6631</v>
      </c>
      <c r="G13" s="2">
        <v>5</v>
      </c>
      <c r="H13" s="2">
        <v>1</v>
      </c>
      <c r="I13" s="2">
        <f t="shared" si="0"/>
        <v>30519.8</v>
      </c>
      <c r="J13" s="2">
        <f t="shared" si="1"/>
        <v>53.438045147933117</v>
      </c>
      <c r="K13" s="2">
        <f t="shared" si="2"/>
        <v>2855.624669232539</v>
      </c>
    </row>
    <row r="14" spans="1:11" x14ac:dyDescent="0.2">
      <c r="A14">
        <v>1990</v>
      </c>
      <c r="B14" s="2">
        <v>170936</v>
      </c>
      <c r="C14" s="2">
        <v>118728</v>
      </c>
      <c r="D14" s="2">
        <v>17940</v>
      </c>
      <c r="E14" s="2">
        <v>23089</v>
      </c>
      <c r="F14" s="2">
        <v>11560</v>
      </c>
      <c r="G14" s="2">
        <v>5</v>
      </c>
      <c r="H14" s="2">
        <v>1</v>
      </c>
      <c r="I14" s="2">
        <f t="shared" si="0"/>
        <v>34187.199999999997</v>
      </c>
      <c r="J14" s="2">
        <f t="shared" si="1"/>
        <v>55.498065565777502</v>
      </c>
      <c r="K14" s="2">
        <f t="shared" si="2"/>
        <v>3080.0352815433357</v>
      </c>
    </row>
    <row r="15" spans="1:11" x14ac:dyDescent="0.2">
      <c r="A15">
        <v>2000</v>
      </c>
      <c r="B15" s="2">
        <v>189453</v>
      </c>
      <c r="C15" s="2">
        <v>114489</v>
      </c>
      <c r="D15" s="2">
        <v>17705</v>
      </c>
      <c r="E15" s="2">
        <v>35268</v>
      </c>
      <c r="F15" s="2">
        <v>16346</v>
      </c>
      <c r="G15" s="2">
        <v>5</v>
      </c>
      <c r="H15" s="2">
        <v>1</v>
      </c>
      <c r="I15" s="2">
        <f t="shared" si="0"/>
        <v>37890.6</v>
      </c>
      <c r="J15" s="2">
        <f t="shared" si="1"/>
        <v>57.433748521105102</v>
      </c>
      <c r="K15" s="2">
        <f t="shared" si="2"/>
        <v>3298.6354691855427</v>
      </c>
    </row>
    <row r="16" spans="1:11" x14ac:dyDescent="0.2">
      <c r="A16">
        <v>2010</v>
      </c>
      <c r="B16" s="2">
        <v>207627</v>
      </c>
      <c r="C16" s="2">
        <v>132961</v>
      </c>
      <c r="D16" s="2">
        <v>17088</v>
      </c>
      <c r="E16" s="2">
        <v>31382</v>
      </c>
      <c r="F16" s="2">
        <v>19895</v>
      </c>
      <c r="G16" s="2">
        <v>5</v>
      </c>
      <c r="H16" s="2">
        <v>1</v>
      </c>
      <c r="I16" s="2">
        <f t="shared" si="0"/>
        <v>41525.4</v>
      </c>
      <c r="J16" s="2">
        <f t="shared" si="1"/>
        <v>59.214483155974648</v>
      </c>
      <c r="K16" s="2">
        <f t="shared" si="2"/>
        <v>3506.355015429207</v>
      </c>
    </row>
    <row r="17" spans="1:11" x14ac:dyDescent="0.2">
      <c r="A17">
        <v>2020</v>
      </c>
      <c r="B17" s="2">
        <v>238643</v>
      </c>
      <c r="C17" s="2">
        <v>139653</v>
      </c>
      <c r="D17" s="2">
        <v>20330</v>
      </c>
      <c r="E17" s="2">
        <v>37362</v>
      </c>
      <c r="F17" s="2">
        <v>27353</v>
      </c>
      <c r="G17" s="2">
        <v>5</v>
      </c>
      <c r="H17" s="2">
        <v>1</v>
      </c>
      <c r="I17" s="2">
        <f t="shared" si="0"/>
        <v>47728.6</v>
      </c>
      <c r="J17" s="2">
        <f t="shared" si="1"/>
        <v>62.027303271113752</v>
      </c>
      <c r="K17" s="2">
        <f t="shared" si="2"/>
        <v>3847.3863510867245</v>
      </c>
    </row>
    <row r="18" spans="1:11" x14ac:dyDescent="0.2">
      <c r="A18" s="4" t="s">
        <v>7</v>
      </c>
    </row>
    <row r="19" spans="1:11" x14ac:dyDescent="0.2">
      <c r="A19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demographics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Keena</dc:creator>
  <cp:lastModifiedBy>Alex Keena</cp:lastModifiedBy>
  <dcterms:created xsi:type="dcterms:W3CDTF">2026-09-18T12:40:58Z</dcterms:created>
  <dcterms:modified xsi:type="dcterms:W3CDTF">2026-09-21T16:26:35Z</dcterms:modified>
</cp:coreProperties>
</file>